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ime/Desktop/"/>
    </mc:Choice>
  </mc:AlternateContent>
  <xr:revisionPtr revIDLastSave="0" documentId="13_ncr:1_{701D2632-3CC3-EA4B-8AD7-1DFF5ACFC8BB}" xr6:coauthVersionLast="47" xr6:coauthVersionMax="47" xr10:uidLastSave="{00000000-0000-0000-0000-000000000000}"/>
  <bookViews>
    <workbookView xWindow="0" yWindow="660" windowWidth="30240" windowHeight="17780" activeTab="3" xr2:uid="{860115E1-2709-4148-A9C5-AE2F7D605769}"/>
  </bookViews>
  <sheets>
    <sheet name="Diodo Ideal" sheetId="1" r:id="rId1"/>
    <sheet name="Rectificadores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33" i="1"/>
  <c r="G34" i="1"/>
  <c r="G35" i="1"/>
  <c r="G36" i="1"/>
  <c r="G37" i="1"/>
  <c r="G38" i="1"/>
  <c r="G39" i="1"/>
  <c r="G40" i="1"/>
  <c r="G41" i="1"/>
  <c r="G42" i="1"/>
  <c r="G32" i="1"/>
  <c r="G19" i="1"/>
  <c r="Z26" i="1"/>
  <c r="Z27" i="1"/>
  <c r="Z28" i="1"/>
  <c r="Z29" i="1"/>
  <c r="Z30" i="1"/>
  <c r="Z31" i="1"/>
  <c r="Z32" i="1"/>
  <c r="Z33" i="1"/>
  <c r="Z34" i="1"/>
  <c r="Z25" i="1"/>
  <c r="Z20" i="1"/>
  <c r="Z12" i="1"/>
  <c r="Z24" i="1"/>
  <c r="Z13" i="1"/>
  <c r="Z14" i="1"/>
  <c r="Z15" i="1"/>
  <c r="Z16" i="1"/>
  <c r="X17" i="1"/>
  <c r="Z17" i="1" s="1"/>
  <c r="Z18" i="1"/>
  <c r="Z19" i="1"/>
  <c r="Z21" i="1"/>
  <c r="Z22" i="1"/>
  <c r="Z23" i="1"/>
  <c r="G13" i="1"/>
  <c r="G14" i="1"/>
  <c r="G15" i="1"/>
  <c r="G16" i="1"/>
  <c r="G17" i="1"/>
  <c r="G18" i="1"/>
  <c r="G20" i="1"/>
  <c r="G21" i="1"/>
  <c r="G22" i="1"/>
  <c r="G23" i="1"/>
  <c r="G24" i="1"/>
  <c r="G11" i="1"/>
  <c r="E19" i="1"/>
  <c r="J7" i="2"/>
  <c r="J8" i="2"/>
  <c r="J9" i="2" s="1"/>
  <c r="C10" i="2"/>
  <c r="C11" i="2" s="1"/>
  <c r="C9" i="2"/>
</calcChain>
</file>

<file path=xl/sharedStrings.xml><?xml version="1.0" encoding="utf-8"?>
<sst xmlns="http://schemas.openxmlformats.org/spreadsheetml/2006/main" count="48" uniqueCount="34">
  <si>
    <t>R=1KΩ</t>
  </si>
  <si>
    <t>I</t>
  </si>
  <si>
    <t>n</t>
  </si>
  <si>
    <t>I_Diodo</t>
  </si>
  <si>
    <t>Consumo maximo[W]</t>
  </si>
  <si>
    <t>Resistencia de carga</t>
  </si>
  <si>
    <t>P=V^2/R &lt;2</t>
  </si>
  <si>
    <t>R&gt;V^2 /2</t>
  </si>
  <si>
    <t>Voltaje eficaz</t>
  </si>
  <si>
    <t>&lt;- Mayor que esto</t>
  </si>
  <si>
    <t>Imágenes entrada/salida</t>
  </si>
  <si>
    <t>V_entrada</t>
  </si>
  <si>
    <t>Vsalida</t>
  </si>
  <si>
    <t>Media onda</t>
  </si>
  <si>
    <t>Voltaje en carga</t>
  </si>
  <si>
    <t>Voltaje offset diodo</t>
  </si>
  <si>
    <t>V aplicada [V]</t>
  </si>
  <si>
    <t xml:space="preserve"> Vresistencia [mV]</t>
  </si>
  <si>
    <t>V_Diodo [V]</t>
  </si>
  <si>
    <t>mV</t>
  </si>
  <si>
    <t>Vd</t>
  </si>
  <si>
    <t>Cogemos R</t>
  </si>
  <si>
    <t>Ω</t>
  </si>
  <si>
    <t>V_medio</t>
  </si>
  <si>
    <t>V_pico_pico</t>
  </si>
  <si>
    <t xml:space="preserve">Condensadir </t>
  </si>
  <si>
    <t>Pico pico</t>
  </si>
  <si>
    <t>V_med</t>
  </si>
  <si>
    <t>microF</t>
  </si>
  <si>
    <t>R1</t>
  </si>
  <si>
    <t>R2</t>
  </si>
  <si>
    <t>I_CIRCUITO</t>
  </si>
  <si>
    <t>TESTEO+</t>
  </si>
  <si>
    <t>I_Diodo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</si>
</sst>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'Diodo Ideal'!$G$10</c:f>
              <c:strCache>
                <c:ptCount val="1"/>
                <c:pt idx="0">
                  <c:v>I_Diodo [A]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'Diodo Ideal'!$F$11:$F$25</c:f>
              <c:numCache>
                <c:formatCode>General</c:formatCode>
                <c:ptCount val="15"/>
                <c:pt idx="0">
                  <c:v>-5.2</c:v>
                </c:pt>
                <c:pt idx="1">
                  <c:v>-0.314</c:v>
                </c:pt>
                <c:pt idx="2">
                  <c:v>-0.501</c:v>
                </c:pt>
                <c:pt idx="3">
                  <c:v>-0.54500000000000004</c:v>
                </c:pt>
                <c:pt idx="4">
                  <c:v>-0.57199999999999995</c:v>
                </c:pt>
                <c:pt idx="5">
                  <c:v>-0.59</c:v>
                </c:pt>
                <c:pt idx="6">
                  <c:v>-0.6</c:v>
                </c:pt>
                <c:pt idx="7">
                  <c:v>-0.61</c:v>
                </c:pt>
                <c:pt idx="8">
                  <c:v>-0.63100000000000001</c:v>
                </c:pt>
                <c:pt idx="9">
                  <c:v>-0.65</c:v>
                </c:pt>
                <c:pt idx="10">
                  <c:v>-0.66200000000000003</c:v>
                </c:pt>
                <c:pt idx="11">
                  <c:v>-0.67300000000000004</c:v>
                </c:pt>
                <c:pt idx="12">
                  <c:v>-0.68</c:v>
                </c:pt>
                <c:pt idx="13">
                  <c:v>-0.68500000000000005</c:v>
                </c:pt>
              </c:numCache>
            </c:numRef>
          </c:xVal>
          <c:yVal>
            <c:numRef>
              <c:f>'Diodo Ideal'!$G$11:$G$25</c:f>
              <c:numCache>
                <c:formatCode>General</c:formatCode>
                <c:ptCount val="15"/>
                <c:pt idx="0">
                  <c:v>0</c:v>
                </c:pt>
                <c:pt idx="1">
                  <c:v>1.0000000000000001E-5</c:v>
                </c:pt>
                <c:pt idx="2">
                  <c:v>1.4799999999999999E-4</c:v>
                </c:pt>
                <c:pt idx="3">
                  <c:v>3.7199999999999999E-4</c:v>
                </c:pt>
                <c:pt idx="4">
                  <c:v>6.4000000000000005E-4</c:v>
                </c:pt>
                <c:pt idx="5">
                  <c:v>9.7300000000000002E-4</c:v>
                </c:pt>
                <c:pt idx="6">
                  <c:v>1.2900000000000001E-3</c:v>
                </c:pt>
                <c:pt idx="7">
                  <c:v>1.47E-3</c:v>
                </c:pt>
                <c:pt idx="8">
                  <c:v>2.3900000000000002E-3</c:v>
                </c:pt>
                <c:pt idx="9">
                  <c:v>3.4199999999999999E-3</c:v>
                </c:pt>
                <c:pt idx="10">
                  <c:v>4.4099999999999999E-3</c:v>
                </c:pt>
                <c:pt idx="11">
                  <c:v>5.4400000000000004E-3</c:v>
                </c:pt>
                <c:pt idx="12">
                  <c:v>6.43E-3</c:v>
                </c:pt>
                <c:pt idx="13">
                  <c:v>7.3600000000000002E-3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4-4D40-B3A6-CC6B7FBC5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868608"/>
        <c:axId val="840867264"/>
      </c:scatterChart>
      <c:valAx>
        <c:axId val="84086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0867264"/>
        <c:crosses val="autoZero"/>
        <c:crossBetween val="midCat"/>
      </c:valAx>
      <c:valAx>
        <c:axId val="8408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086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'Diodo Ideal'!$G$59:$G$71</c:f>
              <c:numCache>
                <c:formatCode>General</c:formatCode>
                <c:ptCount val="13"/>
                <c:pt idx="0">
                  <c:v>-0.314</c:v>
                </c:pt>
                <c:pt idx="1">
                  <c:v>-0.501</c:v>
                </c:pt>
                <c:pt idx="2">
                  <c:v>-0.54500000000000004</c:v>
                </c:pt>
                <c:pt idx="3">
                  <c:v>-0.57199999999999995</c:v>
                </c:pt>
                <c:pt idx="4">
                  <c:v>-0.59</c:v>
                </c:pt>
                <c:pt idx="5">
                  <c:v>-0.6</c:v>
                </c:pt>
                <c:pt idx="6">
                  <c:v>-0.61</c:v>
                </c:pt>
                <c:pt idx="7">
                  <c:v>-0.63100000000000001</c:v>
                </c:pt>
                <c:pt idx="8">
                  <c:v>-0.65</c:v>
                </c:pt>
                <c:pt idx="9">
                  <c:v>-0.66200000000000003</c:v>
                </c:pt>
                <c:pt idx="10">
                  <c:v>-0.67300000000000004</c:v>
                </c:pt>
                <c:pt idx="11">
                  <c:v>-0.68</c:v>
                </c:pt>
                <c:pt idx="12">
                  <c:v>-0.68500000000000005</c:v>
                </c:pt>
              </c:numCache>
            </c:numRef>
          </c:xVal>
          <c:yVal>
            <c:numRef>
              <c:f>'Diodo Ideal'!$H$59:$H$71</c:f>
              <c:numCache>
                <c:formatCode>General</c:formatCode>
                <c:ptCount val="13"/>
                <c:pt idx="0">
                  <c:v>1.0000000000000001E-5</c:v>
                </c:pt>
                <c:pt idx="1">
                  <c:v>1.4799999999999999E-4</c:v>
                </c:pt>
                <c:pt idx="2">
                  <c:v>3.7199999999999999E-4</c:v>
                </c:pt>
                <c:pt idx="3">
                  <c:v>6.4000000000000005E-4</c:v>
                </c:pt>
                <c:pt idx="4">
                  <c:v>9.7300000000000002E-4</c:v>
                </c:pt>
                <c:pt idx="5">
                  <c:v>1.2900000000000001E-3</c:v>
                </c:pt>
                <c:pt idx="6">
                  <c:v>1.47E-3</c:v>
                </c:pt>
                <c:pt idx="7">
                  <c:v>2.3900000000000002E-3</c:v>
                </c:pt>
                <c:pt idx="8">
                  <c:v>3.4199999999999999E-3</c:v>
                </c:pt>
                <c:pt idx="9">
                  <c:v>4.4099999999999999E-3</c:v>
                </c:pt>
                <c:pt idx="10">
                  <c:v>5.4400000000000004E-3</c:v>
                </c:pt>
                <c:pt idx="11">
                  <c:v>6.43E-3</c:v>
                </c:pt>
                <c:pt idx="12">
                  <c:v>7.3600000000000002E-3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C-1446-9631-7449A651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696256"/>
        <c:axId val="840701184"/>
      </c:scatterChart>
      <c:valAx>
        <c:axId val="8406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0701184"/>
        <c:crosses val="autoZero"/>
        <c:crossBetween val="midCat"/>
      </c:valAx>
      <c:valAx>
        <c:axId val="8407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06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'Diodo Ideal'!$Z$11</c:f>
              <c:strCache>
                <c:ptCount val="1"/>
                <c:pt idx="0">
                  <c:v>I_CIRCUITO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'Diodo Ideal'!$Y$12:$Y$34</c:f>
              <c:numCache>
                <c:formatCode>General</c:formatCode>
                <c:ptCount val="23"/>
                <c:pt idx="0">
                  <c:v>-0.68500000000000005</c:v>
                </c:pt>
                <c:pt idx="1">
                  <c:v>-0.68</c:v>
                </c:pt>
                <c:pt idx="2">
                  <c:v>-0.67300000000000004</c:v>
                </c:pt>
                <c:pt idx="3">
                  <c:v>-0.66200000000000003</c:v>
                </c:pt>
                <c:pt idx="4">
                  <c:v>-0.65</c:v>
                </c:pt>
                <c:pt idx="5">
                  <c:v>-0.63100000000000001</c:v>
                </c:pt>
                <c:pt idx="6">
                  <c:v>-0.61</c:v>
                </c:pt>
                <c:pt idx="7">
                  <c:v>-0.6</c:v>
                </c:pt>
                <c:pt idx="8">
                  <c:v>-0.59</c:v>
                </c:pt>
                <c:pt idx="9">
                  <c:v>-0.57199999999999995</c:v>
                </c:pt>
                <c:pt idx="10">
                  <c:v>-0.54500000000000004</c:v>
                </c:pt>
                <c:pt idx="11">
                  <c:v>-0.501</c:v>
                </c:pt>
                <c:pt idx="12">
                  <c:v>-0.314</c:v>
                </c:pt>
                <c:pt idx="13">
                  <c:v>0.51600000000000001</c:v>
                </c:pt>
                <c:pt idx="14">
                  <c:v>1.101</c:v>
                </c:pt>
                <c:pt idx="15">
                  <c:v>1.571</c:v>
                </c:pt>
                <c:pt idx="16">
                  <c:v>2.13</c:v>
                </c:pt>
                <c:pt idx="17">
                  <c:v>3.03</c:v>
                </c:pt>
                <c:pt idx="18">
                  <c:v>4.0999999999999996</c:v>
                </c:pt>
                <c:pt idx="19">
                  <c:v>5.04</c:v>
                </c:pt>
                <c:pt idx="20">
                  <c:v>6.09</c:v>
                </c:pt>
                <c:pt idx="21">
                  <c:v>7.05</c:v>
                </c:pt>
                <c:pt idx="22">
                  <c:v>8.09</c:v>
                </c:pt>
              </c:numCache>
            </c:numRef>
          </c:xVal>
          <c:yVal>
            <c:numRef>
              <c:f>'Diodo Ideal'!$Z$12:$Z$34</c:f>
              <c:numCache>
                <c:formatCode>General</c:formatCode>
                <c:ptCount val="23"/>
                <c:pt idx="0">
                  <c:v>7.3600000000000002E-3</c:v>
                </c:pt>
                <c:pt idx="1">
                  <c:v>6.43E-3</c:v>
                </c:pt>
                <c:pt idx="2">
                  <c:v>5.4400000000000004E-3</c:v>
                </c:pt>
                <c:pt idx="3">
                  <c:v>4.4099999999999999E-3</c:v>
                </c:pt>
                <c:pt idx="4">
                  <c:v>3.4199999999999999E-3</c:v>
                </c:pt>
                <c:pt idx="5">
                  <c:v>2.3900000000000002E-3</c:v>
                </c:pt>
                <c:pt idx="6">
                  <c:v>1.47E-3</c:v>
                </c:pt>
                <c:pt idx="7">
                  <c:v>1.2900000000000001E-3</c:v>
                </c:pt>
                <c:pt idx="8">
                  <c:v>9.7300000000000002E-4</c:v>
                </c:pt>
                <c:pt idx="9">
                  <c:v>6.4000000000000005E-4</c:v>
                </c:pt>
                <c:pt idx="10">
                  <c:v>3.7199999999999999E-4</c:v>
                </c:pt>
                <c:pt idx="11">
                  <c:v>1.4799999999999999E-4</c:v>
                </c:pt>
                <c:pt idx="12">
                  <c:v>1.0000000000000001E-5</c:v>
                </c:pt>
                <c:pt idx="13">
                  <c:v>-5.0000000000000001E-4</c:v>
                </c:pt>
                <c:pt idx="14">
                  <c:v>-1E-3</c:v>
                </c:pt>
                <c:pt idx="15">
                  <c:v>-1.5E-3</c:v>
                </c:pt>
                <c:pt idx="16">
                  <c:v>-2E-3</c:v>
                </c:pt>
                <c:pt idx="17">
                  <c:v>-3.0000000000000001E-3</c:v>
                </c:pt>
                <c:pt idx="18">
                  <c:v>-4.0000000000000001E-3</c:v>
                </c:pt>
                <c:pt idx="19">
                  <c:v>-5.0000000000000001E-3</c:v>
                </c:pt>
                <c:pt idx="20">
                  <c:v>-6.0000000000000001E-3</c:v>
                </c:pt>
                <c:pt idx="21">
                  <c:v>-7.0000000000000001E-3</c:v>
                </c:pt>
                <c:pt idx="22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1-7E4B-B41A-0E967CA8D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81215"/>
        <c:axId val="583694335"/>
      </c:scatterChart>
      <c:valAx>
        <c:axId val="59528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3694335"/>
        <c:crosses val="autoZero"/>
        <c:crossBetween val="midCat"/>
      </c:valAx>
      <c:valAx>
        <c:axId val="5836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528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4</xdr:row>
      <xdr:rowOff>107950</xdr:rowOff>
    </xdr:from>
    <xdr:to>
      <xdr:col>15</xdr:col>
      <xdr:colOff>450850</xdr:colOff>
      <xdr:row>18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DF850C-51DF-C250-486E-A87841C11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50800</xdr:colOff>
      <xdr:row>55</xdr:row>
      <xdr:rowOff>158750</xdr:rowOff>
    </xdr:from>
    <xdr:to>
      <xdr:col>16</xdr:col>
      <xdr:colOff>495300</xdr:colOff>
      <xdr:row>69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6B7DCB5-B614-6A0D-159E-B12789437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309880</xdr:colOff>
      <xdr:row>17</xdr:row>
      <xdr:rowOff>60960</xdr:rowOff>
    </xdr:from>
    <xdr:to>
      <xdr:col>31</xdr:col>
      <xdr:colOff>767080</xdr:colOff>
      <xdr:row>30</xdr:row>
      <xdr:rowOff>162560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A8F70-D2DF-9348-ED6F-5B47B81BE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08B-C1CB-B04F-A8D4-6137A0AE0FA1}">
  <dimension ref="C7:AD71"/>
  <sheetViews>
    <sheetView topLeftCell="A6" zoomScale="118" workbookViewId="0">
      <selection activeCell="D31" sqref="D31:G42"/>
    </sheetView>
  </sheetViews>
  <sheetFormatPr baseColWidth="10" defaultRowHeight="16" x14ac:dyDescent="0.2"/>
  <sheetData>
    <row r="7" spans="3:30" x14ac:dyDescent="0.2">
      <c r="D7" t="s">
        <v>0</v>
      </c>
      <c r="E7">
        <v>1000</v>
      </c>
    </row>
    <row r="9" spans="3:30" x14ac:dyDescent="0.2">
      <c r="W9" s="3" t="s">
        <v>32</v>
      </c>
      <c r="X9" s="2"/>
      <c r="Y9" s="2"/>
      <c r="Z9" s="2"/>
      <c r="AA9" s="2"/>
      <c r="AB9" s="2"/>
      <c r="AC9" s="2"/>
      <c r="AD9" s="2"/>
    </row>
    <row r="10" spans="3:30" x14ac:dyDescent="0.2">
      <c r="C10" t="s">
        <v>2</v>
      </c>
      <c r="D10" t="s">
        <v>16</v>
      </c>
      <c r="E10" t="s">
        <v>17</v>
      </c>
      <c r="F10" t="s">
        <v>18</v>
      </c>
      <c r="G10" t="s">
        <v>33</v>
      </c>
    </row>
    <row r="11" spans="3:30" x14ac:dyDescent="0.2">
      <c r="C11">
        <v>1</v>
      </c>
      <c r="D11">
        <v>0</v>
      </c>
      <c r="E11">
        <v>0</v>
      </c>
      <c r="F11">
        <v>-5.2</v>
      </c>
      <c r="G11">
        <f>E11/$E$7</f>
        <v>0</v>
      </c>
      <c r="H11" t="s">
        <v>19</v>
      </c>
      <c r="W11" t="s">
        <v>16</v>
      </c>
      <c r="X11" t="s">
        <v>17</v>
      </c>
      <c r="Y11" t="s">
        <v>18</v>
      </c>
      <c r="Z11" t="s">
        <v>31</v>
      </c>
    </row>
    <row r="12" spans="3:30" x14ac:dyDescent="0.2">
      <c r="C12">
        <v>2</v>
      </c>
      <c r="D12">
        <v>0.3</v>
      </c>
      <c r="E12">
        <v>0.01</v>
      </c>
      <c r="F12">
        <v>-0.314</v>
      </c>
      <c r="G12">
        <f>E12/$E$7</f>
        <v>1.0000000000000001E-5</v>
      </c>
      <c r="W12">
        <v>8</v>
      </c>
      <c r="X12">
        <v>7.36</v>
      </c>
      <c r="Y12">
        <v>-0.68500000000000005</v>
      </c>
      <c r="Z12">
        <f t="shared" ref="Z12:Z24" si="0">X12/$E$7</f>
        <v>7.3600000000000002E-3</v>
      </c>
    </row>
    <row r="13" spans="3:30" x14ac:dyDescent="0.2">
      <c r="C13">
        <v>3</v>
      </c>
      <c r="D13">
        <v>0.6</v>
      </c>
      <c r="E13">
        <v>0.14799999999999999</v>
      </c>
      <c r="F13">
        <v>-0.501</v>
      </c>
      <c r="G13">
        <f t="shared" ref="G12:G24" si="1">E13/$E$7</f>
        <v>1.4799999999999999E-4</v>
      </c>
      <c r="W13">
        <v>7</v>
      </c>
      <c r="X13">
        <v>6.43</v>
      </c>
      <c r="Y13">
        <v>-0.68</v>
      </c>
      <c r="Z13">
        <f t="shared" si="0"/>
        <v>6.43E-3</v>
      </c>
    </row>
    <row r="14" spans="3:30" x14ac:dyDescent="0.2">
      <c r="C14">
        <v>4</v>
      </c>
      <c r="D14">
        <v>0.9</v>
      </c>
      <c r="E14">
        <v>0.372</v>
      </c>
      <c r="F14">
        <v>-0.54500000000000004</v>
      </c>
      <c r="G14">
        <f t="shared" si="1"/>
        <v>3.7199999999999999E-4</v>
      </c>
      <c r="W14">
        <v>6</v>
      </c>
      <c r="X14">
        <v>5.44</v>
      </c>
      <c r="Y14">
        <v>-0.67300000000000004</v>
      </c>
      <c r="Z14">
        <f t="shared" si="0"/>
        <v>5.4400000000000004E-3</v>
      </c>
    </row>
    <row r="15" spans="3:30" x14ac:dyDescent="0.2">
      <c r="C15">
        <v>5</v>
      </c>
      <c r="D15">
        <v>1.2</v>
      </c>
      <c r="E15">
        <v>0.64</v>
      </c>
      <c r="F15">
        <v>-0.57199999999999995</v>
      </c>
      <c r="G15">
        <f t="shared" si="1"/>
        <v>6.4000000000000005E-4</v>
      </c>
      <c r="W15">
        <v>5</v>
      </c>
      <c r="X15">
        <v>4.41</v>
      </c>
      <c r="Y15">
        <v>-0.66200000000000003</v>
      </c>
      <c r="Z15">
        <f t="shared" si="0"/>
        <v>4.4099999999999999E-3</v>
      </c>
    </row>
    <row r="16" spans="3:30" x14ac:dyDescent="0.2">
      <c r="C16">
        <v>6</v>
      </c>
      <c r="D16">
        <v>1.5</v>
      </c>
      <c r="E16">
        <v>0.97299999999999998</v>
      </c>
      <c r="F16">
        <v>-0.59</v>
      </c>
      <c r="G16">
        <f t="shared" si="1"/>
        <v>9.7300000000000002E-4</v>
      </c>
      <c r="W16">
        <v>4</v>
      </c>
      <c r="X16">
        <v>3.42</v>
      </c>
      <c r="Y16">
        <v>-0.65</v>
      </c>
      <c r="Z16">
        <f t="shared" si="0"/>
        <v>3.4199999999999999E-3</v>
      </c>
    </row>
    <row r="17" spans="3:26" x14ac:dyDescent="0.2">
      <c r="C17">
        <v>7</v>
      </c>
      <c r="D17">
        <v>1.8</v>
      </c>
      <c r="E17">
        <v>1.29</v>
      </c>
      <c r="F17">
        <v>-0.6</v>
      </c>
      <c r="G17">
        <f t="shared" si="1"/>
        <v>1.2900000000000001E-3</v>
      </c>
      <c r="W17">
        <v>3</v>
      </c>
      <c r="X17">
        <f>2.39</f>
        <v>2.39</v>
      </c>
      <c r="Y17">
        <v>-0.63100000000000001</v>
      </c>
      <c r="Z17">
        <f t="shared" si="0"/>
        <v>2.3900000000000002E-3</v>
      </c>
    </row>
    <row r="18" spans="3:26" x14ac:dyDescent="0.2">
      <c r="C18">
        <v>8</v>
      </c>
      <c r="D18">
        <v>2</v>
      </c>
      <c r="E18">
        <v>1.47</v>
      </c>
      <c r="F18">
        <v>-0.61</v>
      </c>
      <c r="G18">
        <f t="shared" si="1"/>
        <v>1.47E-3</v>
      </c>
      <c r="W18">
        <v>2</v>
      </c>
      <c r="X18">
        <v>1.47</v>
      </c>
      <c r="Y18">
        <v>-0.61</v>
      </c>
      <c r="Z18">
        <f t="shared" si="0"/>
        <v>1.47E-3</v>
      </c>
    </row>
    <row r="19" spans="3:26" x14ac:dyDescent="0.2">
      <c r="C19">
        <v>9</v>
      </c>
      <c r="D19">
        <v>3</v>
      </c>
      <c r="E19">
        <f>2.39</f>
        <v>2.39</v>
      </c>
      <c r="F19">
        <v>-0.63100000000000001</v>
      </c>
      <c r="G19">
        <f>E19/$E$7</f>
        <v>2.3900000000000002E-3</v>
      </c>
      <c r="W19">
        <v>1.8</v>
      </c>
      <c r="X19">
        <v>1.29</v>
      </c>
      <c r="Y19">
        <v>-0.6</v>
      </c>
      <c r="Z19">
        <f t="shared" si="0"/>
        <v>1.2900000000000001E-3</v>
      </c>
    </row>
    <row r="20" spans="3:26" x14ac:dyDescent="0.2">
      <c r="C20">
        <v>10</v>
      </c>
      <c r="D20">
        <v>4</v>
      </c>
      <c r="E20">
        <v>3.42</v>
      </c>
      <c r="F20">
        <v>-0.65</v>
      </c>
      <c r="G20">
        <f t="shared" si="1"/>
        <v>3.4199999999999999E-3</v>
      </c>
      <c r="W20">
        <v>1.5</v>
      </c>
      <c r="X20">
        <v>0.97299999999999998</v>
      </c>
      <c r="Y20">
        <v>-0.59</v>
      </c>
      <c r="Z20">
        <f t="shared" si="0"/>
        <v>9.7300000000000002E-4</v>
      </c>
    </row>
    <row r="21" spans="3:26" x14ac:dyDescent="0.2">
      <c r="C21">
        <v>11</v>
      </c>
      <c r="D21">
        <v>5</v>
      </c>
      <c r="E21">
        <v>4.41</v>
      </c>
      <c r="F21">
        <v>-0.66200000000000003</v>
      </c>
      <c r="G21">
        <f t="shared" si="1"/>
        <v>4.4099999999999999E-3</v>
      </c>
      <c r="W21">
        <v>1.2</v>
      </c>
      <c r="X21">
        <v>0.64</v>
      </c>
      <c r="Y21">
        <v>-0.57199999999999995</v>
      </c>
      <c r="Z21">
        <f t="shared" si="0"/>
        <v>6.4000000000000005E-4</v>
      </c>
    </row>
    <row r="22" spans="3:26" x14ac:dyDescent="0.2">
      <c r="C22">
        <v>12</v>
      </c>
      <c r="D22">
        <v>6</v>
      </c>
      <c r="E22">
        <v>5.44</v>
      </c>
      <c r="F22">
        <v>-0.67300000000000004</v>
      </c>
      <c r="G22">
        <f t="shared" si="1"/>
        <v>5.4400000000000004E-3</v>
      </c>
      <c r="W22">
        <v>0.9</v>
      </c>
      <c r="X22">
        <v>0.372</v>
      </c>
      <c r="Y22">
        <v>-0.54500000000000004</v>
      </c>
      <c r="Z22">
        <f t="shared" si="0"/>
        <v>3.7199999999999999E-4</v>
      </c>
    </row>
    <row r="23" spans="3:26" x14ac:dyDescent="0.2">
      <c r="C23">
        <v>13</v>
      </c>
      <c r="D23">
        <v>7</v>
      </c>
      <c r="E23">
        <v>6.43</v>
      </c>
      <c r="F23">
        <v>-0.68</v>
      </c>
      <c r="G23">
        <f t="shared" si="1"/>
        <v>6.43E-3</v>
      </c>
      <c r="W23">
        <v>0.6</v>
      </c>
      <c r="X23">
        <v>0.14799999999999999</v>
      </c>
      <c r="Y23">
        <v>-0.501</v>
      </c>
      <c r="Z23">
        <f t="shared" si="0"/>
        <v>1.4799999999999999E-4</v>
      </c>
    </row>
    <row r="24" spans="3:26" x14ac:dyDescent="0.2">
      <c r="C24">
        <v>14</v>
      </c>
      <c r="D24">
        <v>8</v>
      </c>
      <c r="E24">
        <v>7.36</v>
      </c>
      <c r="F24">
        <v>-0.68500000000000005</v>
      </c>
      <c r="G24">
        <f t="shared" si="1"/>
        <v>7.3600000000000002E-3</v>
      </c>
      <c r="W24">
        <v>0.3</v>
      </c>
      <c r="X24">
        <v>0.01</v>
      </c>
      <c r="Y24">
        <v>-0.314</v>
      </c>
      <c r="Z24">
        <f t="shared" si="0"/>
        <v>1.0000000000000001E-5</v>
      </c>
    </row>
    <row r="25" spans="3:26" x14ac:dyDescent="0.2">
      <c r="W25">
        <v>-0.5</v>
      </c>
      <c r="X25">
        <v>0</v>
      </c>
      <c r="Y25">
        <v>0.51600000000000001</v>
      </c>
      <c r="Z25">
        <f>W25/$E$7</f>
        <v>-5.0000000000000001E-4</v>
      </c>
    </row>
    <row r="26" spans="3:26" x14ac:dyDescent="0.2">
      <c r="W26">
        <v>-1</v>
      </c>
      <c r="X26">
        <v>0</v>
      </c>
      <c r="Y26">
        <v>1.101</v>
      </c>
      <c r="Z26">
        <f t="shared" ref="Z26:Z34" si="2">W26/$E$7</f>
        <v>-1E-3</v>
      </c>
    </row>
    <row r="27" spans="3:26" x14ac:dyDescent="0.2">
      <c r="W27">
        <v>-1.5</v>
      </c>
      <c r="X27">
        <v>0</v>
      </c>
      <c r="Y27">
        <v>1.571</v>
      </c>
      <c r="Z27">
        <f t="shared" si="2"/>
        <v>-1.5E-3</v>
      </c>
    </row>
    <row r="28" spans="3:26" x14ac:dyDescent="0.2">
      <c r="W28">
        <v>-2</v>
      </c>
      <c r="X28">
        <v>0</v>
      </c>
      <c r="Y28">
        <v>2.13</v>
      </c>
      <c r="Z28">
        <f t="shared" si="2"/>
        <v>-2E-3</v>
      </c>
    </row>
    <row r="29" spans="3:26" x14ac:dyDescent="0.2">
      <c r="W29">
        <v>-3</v>
      </c>
      <c r="X29">
        <v>0</v>
      </c>
      <c r="Y29">
        <v>3.03</v>
      </c>
      <c r="Z29">
        <f t="shared" si="2"/>
        <v>-3.0000000000000001E-3</v>
      </c>
    </row>
    <row r="30" spans="3:26" x14ac:dyDescent="0.2">
      <c r="W30">
        <v>-4</v>
      </c>
      <c r="X30">
        <v>0</v>
      </c>
      <c r="Y30">
        <v>4.0999999999999996</v>
      </c>
      <c r="Z30">
        <f t="shared" si="2"/>
        <v>-4.0000000000000001E-3</v>
      </c>
    </row>
    <row r="31" spans="3:26" x14ac:dyDescent="0.2">
      <c r="C31" t="s">
        <v>2</v>
      </c>
      <c r="D31" t="s">
        <v>16</v>
      </c>
      <c r="E31" t="s">
        <v>17</v>
      </c>
      <c r="F31" t="s">
        <v>18</v>
      </c>
      <c r="G31" t="s">
        <v>3</v>
      </c>
      <c r="W31">
        <v>-5</v>
      </c>
      <c r="X31">
        <v>0</v>
      </c>
      <c r="Y31">
        <v>5.04</v>
      </c>
      <c r="Z31">
        <f t="shared" si="2"/>
        <v>-5.0000000000000001E-3</v>
      </c>
    </row>
    <row r="32" spans="3:26" x14ac:dyDescent="0.2">
      <c r="C32">
        <v>1</v>
      </c>
      <c r="D32">
        <v>0</v>
      </c>
      <c r="E32">
        <v>0</v>
      </c>
      <c r="F32">
        <v>0.02</v>
      </c>
      <c r="G32">
        <f>E32/$E$7</f>
        <v>0</v>
      </c>
      <c r="W32">
        <v>-6</v>
      </c>
      <c r="X32">
        <v>0</v>
      </c>
      <c r="Y32">
        <v>6.09</v>
      </c>
      <c r="Z32">
        <f t="shared" si="2"/>
        <v>-6.0000000000000001E-3</v>
      </c>
    </row>
    <row r="33" spans="3:26" x14ac:dyDescent="0.2">
      <c r="C33">
        <v>2</v>
      </c>
      <c r="D33">
        <v>-0.5</v>
      </c>
      <c r="E33">
        <v>0</v>
      </c>
      <c r="F33">
        <v>0.51600000000000001</v>
      </c>
      <c r="G33">
        <f t="shared" ref="G33:G42" si="3">E33/$E$7</f>
        <v>0</v>
      </c>
      <c r="W33">
        <v>-7</v>
      </c>
      <c r="X33">
        <v>0</v>
      </c>
      <c r="Y33">
        <v>7.05</v>
      </c>
      <c r="Z33">
        <f t="shared" si="2"/>
        <v>-7.0000000000000001E-3</v>
      </c>
    </row>
    <row r="34" spans="3:26" x14ac:dyDescent="0.2">
      <c r="C34">
        <v>3</v>
      </c>
      <c r="D34">
        <v>-1</v>
      </c>
      <c r="E34">
        <v>0</v>
      </c>
      <c r="F34">
        <v>1.101</v>
      </c>
      <c r="G34">
        <f t="shared" si="3"/>
        <v>0</v>
      </c>
      <c r="W34">
        <v>-8</v>
      </c>
      <c r="X34">
        <v>0</v>
      </c>
      <c r="Y34">
        <v>8.09</v>
      </c>
      <c r="Z34">
        <f t="shared" si="2"/>
        <v>-8.0000000000000002E-3</v>
      </c>
    </row>
    <row r="35" spans="3:26" x14ac:dyDescent="0.2">
      <c r="C35">
        <v>4</v>
      </c>
      <c r="D35">
        <v>-1.5</v>
      </c>
      <c r="E35">
        <v>0</v>
      </c>
      <c r="F35">
        <v>1.571</v>
      </c>
      <c r="G35">
        <f t="shared" si="3"/>
        <v>0</v>
      </c>
    </row>
    <row r="36" spans="3:26" x14ac:dyDescent="0.2">
      <c r="C36">
        <v>5</v>
      </c>
      <c r="D36">
        <v>-2</v>
      </c>
      <c r="E36">
        <v>0</v>
      </c>
      <c r="F36">
        <v>2.13</v>
      </c>
      <c r="G36">
        <f t="shared" si="3"/>
        <v>0</v>
      </c>
    </row>
    <row r="37" spans="3:26" x14ac:dyDescent="0.2">
      <c r="C37">
        <v>6</v>
      </c>
      <c r="D37">
        <v>-3</v>
      </c>
      <c r="E37">
        <v>0</v>
      </c>
      <c r="F37">
        <v>3.03</v>
      </c>
      <c r="G37">
        <f t="shared" si="3"/>
        <v>0</v>
      </c>
    </row>
    <row r="38" spans="3:26" x14ac:dyDescent="0.2">
      <c r="C38">
        <v>7</v>
      </c>
      <c r="D38">
        <v>-4</v>
      </c>
      <c r="E38">
        <v>0</v>
      </c>
      <c r="F38">
        <v>4.0999999999999996</v>
      </c>
      <c r="G38">
        <f t="shared" si="3"/>
        <v>0</v>
      </c>
    </row>
    <row r="39" spans="3:26" x14ac:dyDescent="0.2">
      <c r="C39">
        <v>8</v>
      </c>
      <c r="D39">
        <v>-5</v>
      </c>
      <c r="E39">
        <v>0</v>
      </c>
      <c r="F39">
        <v>5.04</v>
      </c>
      <c r="G39">
        <f t="shared" si="3"/>
        <v>0</v>
      </c>
    </row>
    <row r="40" spans="3:26" x14ac:dyDescent="0.2">
      <c r="C40">
        <v>9</v>
      </c>
      <c r="D40">
        <v>-6</v>
      </c>
      <c r="E40">
        <v>0</v>
      </c>
      <c r="F40">
        <v>6.09</v>
      </c>
      <c r="G40">
        <f t="shared" si="3"/>
        <v>0</v>
      </c>
    </row>
    <row r="41" spans="3:26" x14ac:dyDescent="0.2">
      <c r="C41">
        <v>10</v>
      </c>
      <c r="D41">
        <v>-7</v>
      </c>
      <c r="E41">
        <v>0</v>
      </c>
      <c r="F41">
        <v>7.05</v>
      </c>
      <c r="G41">
        <f t="shared" si="3"/>
        <v>0</v>
      </c>
    </row>
    <row r="42" spans="3:26" x14ac:dyDescent="0.2">
      <c r="D42">
        <v>-8</v>
      </c>
      <c r="E42">
        <v>0</v>
      </c>
      <c r="F42">
        <v>8.09</v>
      </c>
      <c r="G42">
        <f t="shared" si="3"/>
        <v>0</v>
      </c>
    </row>
    <row r="58" spans="7:8" x14ac:dyDescent="0.2">
      <c r="G58" t="s">
        <v>20</v>
      </c>
      <c r="H58" t="s">
        <v>1</v>
      </c>
    </row>
    <row r="59" spans="7:8" x14ac:dyDescent="0.2">
      <c r="G59">
        <v>-0.314</v>
      </c>
      <c r="H59">
        <v>1.0000000000000001E-5</v>
      </c>
    </row>
    <row r="60" spans="7:8" x14ac:dyDescent="0.2">
      <c r="G60">
        <v>-0.501</v>
      </c>
      <c r="H60">
        <v>1.4799999999999999E-4</v>
      </c>
    </row>
    <row r="61" spans="7:8" x14ac:dyDescent="0.2">
      <c r="G61">
        <v>-0.54500000000000004</v>
      </c>
      <c r="H61">
        <v>3.7199999999999999E-4</v>
      </c>
    </row>
    <row r="62" spans="7:8" x14ac:dyDescent="0.2">
      <c r="G62">
        <v>-0.57199999999999995</v>
      </c>
      <c r="H62">
        <v>6.4000000000000005E-4</v>
      </c>
    </row>
    <row r="63" spans="7:8" x14ac:dyDescent="0.2">
      <c r="G63">
        <v>-0.59</v>
      </c>
      <c r="H63">
        <v>9.7300000000000002E-4</v>
      </c>
    </row>
    <row r="64" spans="7:8" x14ac:dyDescent="0.2">
      <c r="G64">
        <v>-0.6</v>
      </c>
      <c r="H64">
        <v>1.2900000000000001E-3</v>
      </c>
    </row>
    <row r="65" spans="7:8" x14ac:dyDescent="0.2">
      <c r="G65">
        <v>-0.61</v>
      </c>
      <c r="H65">
        <v>1.47E-3</v>
      </c>
    </row>
    <row r="66" spans="7:8" x14ac:dyDescent="0.2">
      <c r="G66">
        <v>-0.63100000000000001</v>
      </c>
      <c r="H66">
        <v>2.3900000000000002E-3</v>
      </c>
    </row>
    <row r="67" spans="7:8" x14ac:dyDescent="0.2">
      <c r="G67">
        <v>-0.65</v>
      </c>
      <c r="H67">
        <v>3.4199999999999999E-3</v>
      </c>
    </row>
    <row r="68" spans="7:8" x14ac:dyDescent="0.2">
      <c r="G68">
        <v>-0.66200000000000003</v>
      </c>
      <c r="H68">
        <v>4.4099999999999999E-3</v>
      </c>
    </row>
    <row r="69" spans="7:8" x14ac:dyDescent="0.2">
      <c r="G69">
        <v>-0.67300000000000004</v>
      </c>
      <c r="H69">
        <v>5.4400000000000004E-3</v>
      </c>
    </row>
    <row r="70" spans="7:8" x14ac:dyDescent="0.2">
      <c r="G70">
        <v>-0.68</v>
      </c>
      <c r="H70">
        <v>6.43E-3</v>
      </c>
    </row>
    <row r="71" spans="7:8" x14ac:dyDescent="0.2">
      <c r="G71">
        <v>-0.68500000000000005</v>
      </c>
      <c r="H71">
        <v>7.3600000000000002E-3</v>
      </c>
    </row>
  </sheetData>
  <sortState xmlns:xlrd2="http://schemas.microsoft.com/office/spreadsheetml/2017/richdata2" ref="V12:AA25">
    <sortCondition descending="1" ref="W12:W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69CA-B8D1-9549-ABEB-61869F697166}">
  <dimension ref="A2:K31"/>
  <sheetViews>
    <sheetView workbookViewId="0">
      <selection activeCell="D32" sqref="D32"/>
    </sheetView>
  </sheetViews>
  <sheetFormatPr baseColWidth="10" defaultRowHeight="16" x14ac:dyDescent="0.2"/>
  <cols>
    <col min="2" max="2" width="18" customWidth="1"/>
    <col min="7" max="7" width="10.83203125" style="1"/>
  </cols>
  <sheetData>
    <row r="2" spans="1:11" x14ac:dyDescent="0.2">
      <c r="B2" t="s">
        <v>13</v>
      </c>
    </row>
    <row r="4" spans="1:11" x14ac:dyDescent="0.2">
      <c r="C4" t="s">
        <v>6</v>
      </c>
    </row>
    <row r="5" spans="1:11" x14ac:dyDescent="0.2">
      <c r="C5" t="s">
        <v>7</v>
      </c>
      <c r="I5" t="s">
        <v>4</v>
      </c>
      <c r="J5">
        <v>2</v>
      </c>
    </row>
    <row r="6" spans="1:11" x14ac:dyDescent="0.2">
      <c r="I6" t="s">
        <v>8</v>
      </c>
      <c r="J6">
        <v>24</v>
      </c>
    </row>
    <row r="7" spans="1:11" x14ac:dyDescent="0.2">
      <c r="B7" t="s">
        <v>4</v>
      </c>
      <c r="C7">
        <v>2</v>
      </c>
      <c r="I7" t="s">
        <v>15</v>
      </c>
      <c r="J7">
        <f>0.7*2</f>
        <v>1.4</v>
      </c>
    </row>
    <row r="8" spans="1:11" x14ac:dyDescent="0.2">
      <c r="B8" t="s">
        <v>8</v>
      </c>
      <c r="C8">
        <v>24</v>
      </c>
      <c r="I8" t="s">
        <v>14</v>
      </c>
      <c r="J8">
        <f>24-J7</f>
        <v>22.6</v>
      </c>
    </row>
    <row r="9" spans="1:11" x14ac:dyDescent="0.2">
      <c r="B9" t="s">
        <v>15</v>
      </c>
      <c r="C9">
        <f>0.7</f>
        <v>0.7</v>
      </c>
      <c r="I9" t="s">
        <v>5</v>
      </c>
      <c r="J9">
        <f>J8^2/J5</f>
        <v>255.38000000000002</v>
      </c>
      <c r="K9" t="s">
        <v>9</v>
      </c>
    </row>
    <row r="10" spans="1:11" x14ac:dyDescent="0.2">
      <c r="B10" t="s">
        <v>14</v>
      </c>
      <c r="C10">
        <f>24-C9</f>
        <v>23.3</v>
      </c>
    </row>
    <row r="11" spans="1:11" x14ac:dyDescent="0.2">
      <c r="B11" t="s">
        <v>5</v>
      </c>
      <c r="C11">
        <f>C10^2/C7</f>
        <v>271.44499999999999</v>
      </c>
      <c r="D11" t="s">
        <v>9</v>
      </c>
    </row>
    <row r="13" spans="1:11" x14ac:dyDescent="0.2">
      <c r="B13" t="s">
        <v>21</v>
      </c>
      <c r="C13">
        <v>510</v>
      </c>
      <c r="D13" t="s">
        <v>22</v>
      </c>
    </row>
    <row r="15" spans="1:11" x14ac:dyDescent="0.2">
      <c r="I15" t="s">
        <v>23</v>
      </c>
      <c r="J15">
        <v>21.3</v>
      </c>
    </row>
    <row r="16" spans="1:11" x14ac:dyDescent="0.2">
      <c r="A16" t="s">
        <v>2</v>
      </c>
      <c r="B16" t="s">
        <v>10</v>
      </c>
      <c r="C16" t="s">
        <v>11</v>
      </c>
      <c r="D16" t="s">
        <v>12</v>
      </c>
      <c r="I16" t="s">
        <v>24</v>
      </c>
      <c r="J16">
        <v>36</v>
      </c>
    </row>
    <row r="17" spans="1:1" x14ac:dyDescent="0.2">
      <c r="A17">
        <v>1</v>
      </c>
    </row>
    <row r="18" spans="1:1" x14ac:dyDescent="0.2">
      <c r="A18">
        <v>2</v>
      </c>
    </row>
    <row r="19" spans="1:1" x14ac:dyDescent="0.2">
      <c r="A19">
        <v>3</v>
      </c>
    </row>
    <row r="20" spans="1:1" x14ac:dyDescent="0.2">
      <c r="A20">
        <v>4</v>
      </c>
    </row>
    <row r="21" spans="1:1" x14ac:dyDescent="0.2">
      <c r="A21">
        <v>5</v>
      </c>
    </row>
    <row r="22" spans="1:1" x14ac:dyDescent="0.2">
      <c r="A22">
        <v>6</v>
      </c>
    </row>
    <row r="23" spans="1:1" x14ac:dyDescent="0.2">
      <c r="A23">
        <v>7</v>
      </c>
    </row>
    <row r="24" spans="1:1" x14ac:dyDescent="0.2">
      <c r="A24">
        <v>8</v>
      </c>
    </row>
    <row r="25" spans="1:1" x14ac:dyDescent="0.2">
      <c r="A25">
        <v>9</v>
      </c>
    </row>
    <row r="26" spans="1:1" x14ac:dyDescent="0.2">
      <c r="A26">
        <v>10</v>
      </c>
    </row>
    <row r="27" spans="1:1" x14ac:dyDescent="0.2">
      <c r="A27">
        <v>11</v>
      </c>
    </row>
    <row r="28" spans="1:1" x14ac:dyDescent="0.2">
      <c r="A28">
        <v>12</v>
      </c>
    </row>
    <row r="29" spans="1:1" x14ac:dyDescent="0.2">
      <c r="A29">
        <v>13</v>
      </c>
    </row>
    <row r="30" spans="1:1" x14ac:dyDescent="0.2">
      <c r="A30">
        <v>14</v>
      </c>
    </row>
    <row r="31" spans="1:1" x14ac:dyDescent="0.2">
      <c r="A3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BE75-5A49-E04B-8448-7FCF8F6A5474}">
  <dimension ref="D9:G11"/>
  <sheetViews>
    <sheetView workbookViewId="0">
      <selection activeCell="E9" sqref="E9:G11"/>
    </sheetView>
  </sheetViews>
  <sheetFormatPr baseColWidth="10" defaultRowHeight="16" x14ac:dyDescent="0.2"/>
  <sheetData>
    <row r="9" spans="4:7" x14ac:dyDescent="0.2">
      <c r="E9" t="s">
        <v>25</v>
      </c>
      <c r="F9" t="s">
        <v>26</v>
      </c>
      <c r="G9" t="s">
        <v>27</v>
      </c>
    </row>
    <row r="10" spans="4:7" x14ac:dyDescent="0.2">
      <c r="D10" t="s">
        <v>28</v>
      </c>
      <c r="E10">
        <v>47</v>
      </c>
      <c r="F10">
        <v>10.4</v>
      </c>
      <c r="G10">
        <v>31.1</v>
      </c>
    </row>
    <row r="11" spans="4:7" x14ac:dyDescent="0.2">
      <c r="E11">
        <v>100</v>
      </c>
      <c r="F11">
        <v>5.6</v>
      </c>
      <c r="G11">
        <v>32.200000000000003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95DA-14C5-8E4E-9A54-B43A49C04B11}">
  <dimension ref="E9:F10"/>
  <sheetViews>
    <sheetView tabSelected="1" workbookViewId="0">
      <selection activeCell="F10" sqref="F10"/>
    </sheetView>
  </sheetViews>
  <sheetFormatPr baseColWidth="10" defaultRowHeight="16" x14ac:dyDescent="0.2"/>
  <sheetData>
    <row r="9" spans="5:6" x14ac:dyDescent="0.2">
      <c r="E9" t="s">
        <v>29</v>
      </c>
      <c r="F9">
        <v>267</v>
      </c>
    </row>
    <row r="10" spans="5:6" x14ac:dyDescent="0.2">
      <c r="E10" t="s">
        <v>30</v>
      </c>
      <c r="F10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Diodo Ideal</vt:lpstr>
      <vt:lpstr>Rectificadores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Ávila Gómez Xaime Daniel</dc:creator>
  <cp:lastModifiedBy>Ávila Gómez Xaime Daniel</cp:lastModifiedBy>
  <dcterms:created xsi:type="dcterms:W3CDTF">2026-04-13T05:35:42Z</dcterms:created>
  <dcterms:modified xsi:type="dcterms:W3CDTF">2026-04-19T14:41:15Z</dcterms:modified>
</cp:coreProperties>
</file>