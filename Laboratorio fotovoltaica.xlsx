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ime/Desktop/"/>
    </mc:Choice>
  </mc:AlternateContent>
  <xr:revisionPtr revIDLastSave="0" documentId="13_ncr:1_{18A1695F-CAF0-3B4C-A15E-C1E3A2A8FD54}" xr6:coauthVersionLast="47" xr6:coauthVersionMax="47" xr10:uidLastSave="{00000000-0000-0000-0000-000000000000}"/>
  <bookViews>
    <workbookView xWindow="15240" yWindow="660" windowWidth="15000" windowHeight="18980" activeTab="2" xr2:uid="{9C78CA6C-1143-5145-934D-E56C056CEABD}"/>
  </bookViews>
  <sheets>
    <sheet name="Hoja1" sheetId="1" r:id="rId1"/>
    <sheet name="Ley de Ohm" sheetId="2" r:id="rId2"/>
    <sheet name="Circuito" sheetId="3" r:id="rId3"/>
    <sheet name="Kirchoff" sheetId="4" r:id="rId4"/>
    <sheet name="Norton-Thevenin" sheetId="5" r:id="rId5"/>
    <sheet name="Potenciometr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8" i="1"/>
  <c r="F5" i="1"/>
  <c r="L16" i="6"/>
  <c r="K16" i="6"/>
  <c r="M16" i="6"/>
  <c r="K9" i="6"/>
  <c r="K10" i="6"/>
  <c r="K13" i="6"/>
  <c r="K14" i="6"/>
  <c r="K15" i="6"/>
  <c r="K7" i="6"/>
  <c r="L9" i="6"/>
  <c r="L10" i="6"/>
  <c r="L13" i="6"/>
  <c r="L14" i="6"/>
  <c r="L15" i="6"/>
  <c r="H12" i="6"/>
  <c r="L12" i="6" s="1"/>
  <c r="H11" i="6"/>
  <c r="M11" i="6" s="1"/>
  <c r="M8" i="6"/>
  <c r="M9" i="6"/>
  <c r="M10" i="6"/>
  <c r="M13" i="6"/>
  <c r="M14" i="6"/>
  <c r="M15" i="6"/>
  <c r="H8" i="6"/>
  <c r="L8" i="6" s="1"/>
  <c r="H7" i="6"/>
  <c r="M7" i="6" s="1"/>
  <c r="G7" i="6"/>
  <c r="L7" i="6" s="1"/>
  <c r="M21" i="4"/>
  <c r="L21" i="4"/>
  <c r="K21" i="4"/>
  <c r="T10" i="4"/>
  <c r="T9" i="4"/>
  <c r="T7" i="4"/>
  <c r="T8" i="4"/>
  <c r="T6" i="4"/>
  <c r="K8" i="6" l="1"/>
  <c r="L11" i="6"/>
  <c r="M12" i="6"/>
  <c r="K11" i="6"/>
  <c r="K12" i="6"/>
</calcChain>
</file>

<file path=xl/sharedStrings.xml><?xml version="1.0" encoding="utf-8"?>
<sst xmlns="http://schemas.openxmlformats.org/spreadsheetml/2006/main" count="53" uniqueCount="31">
  <si>
    <t>Resistencias</t>
  </si>
  <si>
    <t>Fabricacion</t>
  </si>
  <si>
    <t>Polimetro KΩ</t>
  </si>
  <si>
    <t>V</t>
  </si>
  <si>
    <t>I</t>
  </si>
  <si>
    <t>R1</t>
  </si>
  <si>
    <t>R4</t>
  </si>
  <si>
    <t>R3</t>
  </si>
  <si>
    <t>R2</t>
  </si>
  <si>
    <t>Polimetro kΩ</t>
  </si>
  <si>
    <t>Teorico</t>
  </si>
  <si>
    <t>Nudo 1</t>
  </si>
  <si>
    <t>I mA</t>
  </si>
  <si>
    <t>Nudo R3</t>
  </si>
  <si>
    <t>Nudo R2</t>
  </si>
  <si>
    <t>Malla</t>
  </si>
  <si>
    <t>V_total</t>
  </si>
  <si>
    <t>Malla 1</t>
  </si>
  <si>
    <t>Malla 2</t>
  </si>
  <si>
    <t>Malla 3</t>
  </si>
  <si>
    <t>N</t>
  </si>
  <si>
    <t>Voltaje</t>
  </si>
  <si>
    <t>Caida tension circuito abierto</t>
  </si>
  <si>
    <t>Corriente en cortocircuito mA</t>
  </si>
  <si>
    <t>Resistencia KΩ</t>
  </si>
  <si>
    <t>V total V</t>
  </si>
  <si>
    <t>Resistencia Ω</t>
  </si>
  <si>
    <t>V  [V]</t>
  </si>
  <si>
    <t>RL</t>
  </si>
  <si>
    <t>V^27rl</t>
  </si>
  <si>
    <t>Discrepancia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</si>
</sst>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'Ley de Ohm'!$E$5:$E$14</c:f>
              <c:numCache>
                <c:formatCode>General</c:formatCode>
                <c:ptCount val="10"/>
                <c:pt idx="0">
                  <c:v>1.45</c:v>
                </c:pt>
                <c:pt idx="1">
                  <c:v>3.36</c:v>
                </c:pt>
                <c:pt idx="2">
                  <c:v>5.48</c:v>
                </c:pt>
                <c:pt idx="3">
                  <c:v>7.4</c:v>
                </c:pt>
                <c:pt idx="4">
                  <c:v>9.49</c:v>
                </c:pt>
                <c:pt idx="5">
                  <c:v>11.02</c:v>
                </c:pt>
                <c:pt idx="6">
                  <c:v>13.02</c:v>
                </c:pt>
                <c:pt idx="7">
                  <c:v>14.8</c:v>
                </c:pt>
                <c:pt idx="8">
                  <c:v>16.309999999999999</c:v>
                </c:pt>
                <c:pt idx="9">
                  <c:v>18.239999999999998</c:v>
                </c:pt>
              </c:numCache>
            </c:numRef>
          </c:xVal>
          <c:yVal>
            <c:numRef>
              <c:f>'Ley de Ohm'!$F$5:$F$14</c:f>
              <c:numCache>
                <c:formatCode>General</c:formatCode>
                <c:ptCount val="10"/>
                <c:pt idx="0">
                  <c:v>0.3</c:v>
                </c:pt>
                <c:pt idx="1">
                  <c:v>0.9</c:v>
                </c:pt>
                <c:pt idx="2">
                  <c:v>1.5</c:v>
                </c:pt>
                <c:pt idx="3">
                  <c:v>2</c:v>
                </c:pt>
                <c:pt idx="4">
                  <c:v>2.6</c:v>
                </c:pt>
                <c:pt idx="5">
                  <c:v>3</c:v>
                </c:pt>
                <c:pt idx="6">
                  <c:v>3.6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0F-3442-A552-EFAD6770D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98399"/>
        <c:axId val="70796159"/>
      </c:scatterChart>
      <c:valAx>
        <c:axId val="7079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96159"/>
        <c:crosses val="autoZero"/>
        <c:crossBetween val="midCat"/>
      </c:valAx>
      <c:valAx>
        <c:axId val="7079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9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'Ley de Ohm'!$K$4</c:f>
              <c:strCache>
                <c:ptCount val="1"/>
                <c:pt idx="0">
                  <c:v>V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'Ley de Ohm'!$J$5:$J$14</c:f>
              <c:numCache>
                <c:formatCode>General</c:formatCode>
                <c:ptCount val="10"/>
                <c:pt idx="0">
                  <c:v>0.24</c:v>
                </c:pt>
                <c:pt idx="1">
                  <c:v>0.59</c:v>
                </c:pt>
                <c:pt idx="2">
                  <c:v>0.99</c:v>
                </c:pt>
                <c:pt idx="3">
                  <c:v>1.25</c:v>
                </c:pt>
                <c:pt idx="4">
                  <c:v>1.53</c:v>
                </c:pt>
                <c:pt idx="5">
                  <c:v>1.96</c:v>
                </c:pt>
                <c:pt idx="6">
                  <c:v>2.2000000000000002</c:v>
                </c:pt>
                <c:pt idx="7">
                  <c:v>2.5</c:v>
                </c:pt>
                <c:pt idx="8">
                  <c:v>2.89</c:v>
                </c:pt>
                <c:pt idx="9">
                  <c:v>3.2</c:v>
                </c:pt>
              </c:numCache>
            </c:numRef>
          </c:xVal>
          <c:yVal>
            <c:numRef>
              <c:f>'Ley de Ohm'!$K$5:$K$14</c:f>
              <c:numCache>
                <c:formatCode>General</c:formatCode>
                <c:ptCount val="10"/>
                <c:pt idx="0">
                  <c:v>0.3</c:v>
                </c:pt>
                <c:pt idx="1">
                  <c:v>0.9</c:v>
                </c:pt>
                <c:pt idx="2">
                  <c:v>1.5</c:v>
                </c:pt>
                <c:pt idx="3">
                  <c:v>2</c:v>
                </c:pt>
                <c:pt idx="4">
                  <c:v>2.4</c:v>
                </c:pt>
                <c:pt idx="5">
                  <c:v>3.1</c:v>
                </c:pt>
                <c:pt idx="6">
                  <c:v>3.5</c:v>
                </c:pt>
                <c:pt idx="7">
                  <c:v>4</c:v>
                </c:pt>
                <c:pt idx="8">
                  <c:v>4.5999999999999996</c:v>
                </c:pt>
                <c:pt idx="9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29-2D46-942A-C2D9EE8FF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90239"/>
        <c:axId val="60372095"/>
      </c:scatterChart>
      <c:valAx>
        <c:axId val="8469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372095"/>
        <c:crosses val="autoZero"/>
        <c:crossBetween val="midCat"/>
      </c:valAx>
      <c:valAx>
        <c:axId val="6037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69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'Ley de Ohm'!$O$5:$O$14</c:f>
              <c:numCache>
                <c:formatCode>General</c:formatCode>
                <c:ptCount val="10"/>
                <c:pt idx="0">
                  <c:v>0.57999999999999996</c:v>
                </c:pt>
                <c:pt idx="1">
                  <c:v>1.6</c:v>
                </c:pt>
                <c:pt idx="2">
                  <c:v>2.75</c:v>
                </c:pt>
                <c:pt idx="3">
                  <c:v>3.66</c:v>
                </c:pt>
                <c:pt idx="4">
                  <c:v>4.47</c:v>
                </c:pt>
                <c:pt idx="5">
                  <c:v>5.29</c:v>
                </c:pt>
                <c:pt idx="6">
                  <c:v>6.23</c:v>
                </c:pt>
                <c:pt idx="7">
                  <c:v>7.11</c:v>
                </c:pt>
                <c:pt idx="8">
                  <c:v>8.01</c:v>
                </c:pt>
                <c:pt idx="9">
                  <c:v>9.1</c:v>
                </c:pt>
              </c:numCache>
            </c:numRef>
          </c:xVal>
          <c:yVal>
            <c:numRef>
              <c:f>'Ley de Ohm'!$P$5:$P$14</c:f>
              <c:numCache>
                <c:formatCode>General</c:formatCode>
                <c:ptCount val="10"/>
                <c:pt idx="0">
                  <c:v>0.3</c:v>
                </c:pt>
                <c:pt idx="1">
                  <c:v>0.8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A7-E94E-9073-3EF2DB000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86175"/>
        <c:axId val="90981247"/>
      </c:scatterChart>
      <c:valAx>
        <c:axId val="9098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0981247"/>
        <c:crosses val="autoZero"/>
        <c:crossBetween val="midCat"/>
      </c:valAx>
      <c:valAx>
        <c:axId val="9098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098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'Ley de Ohm'!$T$5:$T$14</c:f>
              <c:numCache>
                <c:formatCode>General</c:formatCode>
                <c:ptCount val="10"/>
                <c:pt idx="0">
                  <c:v>0.03</c:v>
                </c:pt>
                <c:pt idx="1">
                  <c:v>0.1</c:v>
                </c:pt>
                <c:pt idx="2">
                  <c:v>0.16</c:v>
                </c:pt>
                <c:pt idx="3">
                  <c:v>0.21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0.41</c:v>
                </c:pt>
                <c:pt idx="8">
                  <c:v>0.45</c:v>
                </c:pt>
                <c:pt idx="9">
                  <c:v>0.51</c:v>
                </c:pt>
              </c:numCache>
            </c:numRef>
          </c:xVal>
          <c:yVal>
            <c:numRef>
              <c:f>'Ley de Ohm'!$U$5:$U$14</c:f>
              <c:numCache>
                <c:formatCode>General</c:formatCode>
                <c:ptCount val="10"/>
                <c:pt idx="0">
                  <c:v>0.3</c:v>
                </c:pt>
                <c:pt idx="1">
                  <c:v>1</c:v>
                </c:pt>
                <c:pt idx="2">
                  <c:v>1.5</c:v>
                </c:pt>
                <c:pt idx="3">
                  <c:v>2.1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4.0999999999999996</c:v>
                </c:pt>
                <c:pt idx="8">
                  <c:v>4.5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1E-1545-8B05-923BB7DB8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92255"/>
        <c:axId val="87394047"/>
      </c:scatterChart>
      <c:valAx>
        <c:axId val="8739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394047"/>
        <c:crosses val="autoZero"/>
        <c:crossBetween val="midCat"/>
      </c:valAx>
      <c:valAx>
        <c:axId val="873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392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Potenciometro!$K$7:$K$16</c:f>
              <c:numCache>
                <c:formatCode>General</c:formatCode>
                <c:ptCount val="10"/>
                <c:pt idx="0">
                  <c:v>3.22</c:v>
                </c:pt>
                <c:pt idx="1">
                  <c:v>8860</c:v>
                </c:pt>
                <c:pt idx="2">
                  <c:v>1273</c:v>
                </c:pt>
                <c:pt idx="3">
                  <c:v>6350</c:v>
                </c:pt>
                <c:pt idx="4">
                  <c:v>10040</c:v>
                </c:pt>
                <c:pt idx="5">
                  <c:v>12940</c:v>
                </c:pt>
                <c:pt idx="6">
                  <c:v>16440</c:v>
                </c:pt>
                <c:pt idx="7">
                  <c:v>20900</c:v>
                </c:pt>
                <c:pt idx="8">
                  <c:v>29700</c:v>
                </c:pt>
                <c:pt idx="9">
                  <c:v>7550</c:v>
                </c:pt>
              </c:numCache>
            </c:numRef>
          </c:xVal>
          <c:yVal>
            <c:numRef>
              <c:f>Potenciometro!$L$7:$L$16</c:f>
              <c:numCache>
                <c:formatCode>General</c:formatCode>
                <c:ptCount val="10"/>
                <c:pt idx="0">
                  <c:v>1.9409937888198758E-6</c:v>
                </c:pt>
                <c:pt idx="1">
                  <c:v>4.4472065462753952E-4</c:v>
                </c:pt>
                <c:pt idx="2">
                  <c:v>1.7205341712490181E-4</c:v>
                </c:pt>
                <c:pt idx="3">
                  <c:v>3.9812598425196854E-4</c:v>
                </c:pt>
                <c:pt idx="4">
                  <c:v>4.4343625498007965E-4</c:v>
                </c:pt>
                <c:pt idx="5">
                  <c:v>4.4884853168469866E-4</c:v>
                </c:pt>
                <c:pt idx="6">
                  <c:v>4.2073600973236005E-4</c:v>
                </c:pt>
                <c:pt idx="7">
                  <c:v>3.9411004784688995E-4</c:v>
                </c:pt>
                <c:pt idx="8">
                  <c:v>3.6003030303030301E-4</c:v>
                </c:pt>
                <c:pt idx="9">
                  <c:v>4.2770980132450325E-4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39-864D-B2D7-9283B6161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52735"/>
        <c:axId val="98847359"/>
      </c:scatterChart>
      <c:valAx>
        <c:axId val="9885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847359"/>
        <c:crosses val="autoZero"/>
        <c:crossBetween val="midCat"/>
      </c:valAx>
      <c:valAx>
        <c:axId val="9884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85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20</xdr:row>
      <xdr:rowOff>120650</xdr:rowOff>
    </xdr:from>
    <xdr:to>
      <xdr:col>6</xdr:col>
      <xdr:colOff>615950</xdr:colOff>
      <xdr:row>34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E2F013-9D48-3C8B-2973-8A4360A4B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431800</xdr:colOff>
      <xdr:row>18</xdr:row>
      <xdr:rowOff>95250</xdr:rowOff>
    </xdr:from>
    <xdr:to>
      <xdr:col>13</xdr:col>
      <xdr:colOff>50800</xdr:colOff>
      <xdr:row>31</xdr:row>
      <xdr:rowOff>196850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BD9172-6B42-7218-70D1-D0119F18E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209550</xdr:colOff>
      <xdr:row>20</xdr:row>
      <xdr:rowOff>184150</xdr:rowOff>
    </xdr:from>
    <xdr:to>
      <xdr:col>18</xdr:col>
      <xdr:colOff>654050</xdr:colOff>
      <xdr:row>34</xdr:row>
      <xdr:rowOff>82550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4DEBE5-A638-321F-54A5-7E727F604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603250</xdr:colOff>
      <xdr:row>21</xdr:row>
      <xdr:rowOff>57150</xdr:rowOff>
    </xdr:from>
    <xdr:to>
      <xdr:col>25</xdr:col>
      <xdr:colOff>222250</xdr:colOff>
      <xdr:row>34</xdr:row>
      <xdr:rowOff>158750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6275A5A-C1AF-E369-8FD1-004817A62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63500</xdr:colOff>
      <xdr:row>12</xdr:row>
      <xdr:rowOff>171450</xdr:rowOff>
    </xdr:from>
    <xdr:to>
      <xdr:col>18</xdr:col>
      <xdr:colOff>508000</xdr:colOff>
      <xdr:row>26</xdr:row>
      <xdr:rowOff>69850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86AA589-D830-C2B8-B434-BF923F7FC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19320-A8AA-274E-854D-9593B5C77492}">
  <dimension ref="C3:F8"/>
  <sheetViews>
    <sheetView workbookViewId="0">
      <selection activeCell="D13" sqref="D13"/>
    </sheetView>
  </sheetViews>
  <sheetFormatPr baseColWidth="10" defaultRowHeight="16" x14ac:dyDescent="0.2"/>
  <sheetData>
    <row r="3" spans="3:6" x14ac:dyDescent="0.2">
      <c r="D3" t="s">
        <v>1</v>
      </c>
      <c r="E3" t="s">
        <v>2</v>
      </c>
    </row>
    <row r="4" spans="3:6" x14ac:dyDescent="0.2">
      <c r="C4" t="s">
        <v>0</v>
      </c>
      <c r="D4" t="s">
        <v>1</v>
      </c>
      <c r="E4" t="s">
        <v>2</v>
      </c>
      <c r="F4" t="s">
        <v>30</v>
      </c>
    </row>
    <row r="5" spans="3:6" x14ac:dyDescent="0.2">
      <c r="C5">
        <v>1</v>
      </c>
      <c r="D5">
        <v>0.56000000000000005</v>
      </c>
      <c r="E5">
        <v>0.55800000000000005</v>
      </c>
      <c r="F5" s="1">
        <f>ABS(E5-D5)/D5</f>
        <v>3.5714285714285744E-3</v>
      </c>
    </row>
    <row r="6" spans="3:6" x14ac:dyDescent="0.2">
      <c r="C6">
        <v>2</v>
      </c>
      <c r="D6">
        <v>10</v>
      </c>
      <c r="E6">
        <v>10.02</v>
      </c>
      <c r="F6" s="1">
        <f t="shared" ref="F6:F8" si="0">ABS(E6-D6)/D6</f>
        <v>1.9999999999999575E-3</v>
      </c>
    </row>
    <row r="7" spans="3:6" x14ac:dyDescent="0.2">
      <c r="C7">
        <v>3</v>
      </c>
      <c r="D7">
        <v>0.27</v>
      </c>
      <c r="E7">
        <v>0.26700000000000002</v>
      </c>
      <c r="F7" s="1">
        <f>ABS(E7-D7)/D7</f>
        <v>1.111111111111112E-2</v>
      </c>
    </row>
    <row r="8" spans="3:6" x14ac:dyDescent="0.2">
      <c r="C8">
        <v>4</v>
      </c>
      <c r="D8">
        <v>1.6</v>
      </c>
      <c r="E8">
        <v>1.6060000000000001</v>
      </c>
      <c r="F8" s="1">
        <f t="shared" si="0"/>
        <v>3.7500000000000033E-3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554F-971E-134D-BF20-694C6547C51E}">
  <dimension ref="D3:U14"/>
  <sheetViews>
    <sheetView topLeftCell="N1" workbookViewId="0">
      <selection activeCell="T3" sqref="T3:U14"/>
    </sheetView>
  </sheetViews>
  <sheetFormatPr baseColWidth="10" defaultRowHeight="16" x14ac:dyDescent="0.2"/>
  <sheetData>
    <row r="3" spans="4:21" x14ac:dyDescent="0.2">
      <c r="E3" t="s">
        <v>5</v>
      </c>
      <c r="F3">
        <v>0.26700000000000002</v>
      </c>
      <c r="J3" t="s">
        <v>8</v>
      </c>
      <c r="K3">
        <v>1.607</v>
      </c>
      <c r="O3" t="s">
        <v>7</v>
      </c>
      <c r="P3">
        <v>0.55700000000000005</v>
      </c>
      <c r="T3" t="s">
        <v>6</v>
      </c>
      <c r="U3">
        <v>10</v>
      </c>
    </row>
    <row r="4" spans="4:21" x14ac:dyDescent="0.2">
      <c r="E4" t="s">
        <v>4</v>
      </c>
      <c r="F4" t="s">
        <v>3</v>
      </c>
      <c r="J4" t="s">
        <v>4</v>
      </c>
      <c r="K4" t="s">
        <v>3</v>
      </c>
      <c r="O4" t="s">
        <v>4</v>
      </c>
      <c r="P4" t="s">
        <v>3</v>
      </c>
      <c r="T4" t="s">
        <v>4</v>
      </c>
      <c r="U4" t="s">
        <v>3</v>
      </c>
    </row>
    <row r="5" spans="4:21" x14ac:dyDescent="0.2">
      <c r="D5">
        <v>1</v>
      </c>
      <c r="E5">
        <v>1.45</v>
      </c>
      <c r="F5">
        <v>0.3</v>
      </c>
      <c r="I5">
        <v>1</v>
      </c>
      <c r="J5">
        <v>0.24</v>
      </c>
      <c r="K5">
        <v>0.3</v>
      </c>
      <c r="N5">
        <v>1</v>
      </c>
      <c r="O5">
        <v>0.57999999999999996</v>
      </c>
      <c r="P5">
        <v>0.3</v>
      </c>
      <c r="S5">
        <v>1</v>
      </c>
      <c r="T5">
        <v>0.03</v>
      </c>
      <c r="U5">
        <v>0.3</v>
      </c>
    </row>
    <row r="6" spans="4:21" x14ac:dyDescent="0.2">
      <c r="D6">
        <v>2</v>
      </c>
      <c r="E6">
        <v>3.36</v>
      </c>
      <c r="F6">
        <v>0.9</v>
      </c>
      <c r="I6">
        <v>2</v>
      </c>
      <c r="J6">
        <v>0.59</v>
      </c>
      <c r="K6">
        <v>0.9</v>
      </c>
      <c r="N6">
        <v>2</v>
      </c>
      <c r="O6">
        <v>1.6</v>
      </c>
      <c r="P6">
        <v>0.8</v>
      </c>
      <c r="S6">
        <v>2</v>
      </c>
      <c r="T6">
        <v>0.1</v>
      </c>
      <c r="U6">
        <v>1</v>
      </c>
    </row>
    <row r="7" spans="4:21" x14ac:dyDescent="0.2">
      <c r="D7">
        <v>3</v>
      </c>
      <c r="E7">
        <v>5.48</v>
      </c>
      <c r="F7">
        <v>1.5</v>
      </c>
      <c r="I7">
        <v>3</v>
      </c>
      <c r="J7">
        <v>0.99</v>
      </c>
      <c r="K7">
        <v>1.5</v>
      </c>
      <c r="N7">
        <v>3</v>
      </c>
      <c r="O7">
        <v>2.75</v>
      </c>
      <c r="P7">
        <v>1.5</v>
      </c>
      <c r="S7">
        <v>3</v>
      </c>
      <c r="T7">
        <v>0.16</v>
      </c>
      <c r="U7">
        <v>1.5</v>
      </c>
    </row>
    <row r="8" spans="4:21" x14ac:dyDescent="0.2">
      <c r="D8">
        <v>4</v>
      </c>
      <c r="E8">
        <v>7.4</v>
      </c>
      <c r="F8">
        <v>2</v>
      </c>
      <c r="I8">
        <v>4</v>
      </c>
      <c r="J8">
        <v>1.25</v>
      </c>
      <c r="K8">
        <v>2</v>
      </c>
      <c r="N8">
        <v>4</v>
      </c>
      <c r="O8">
        <v>3.66</v>
      </c>
      <c r="P8">
        <v>2</v>
      </c>
      <c r="S8">
        <v>4</v>
      </c>
      <c r="T8">
        <v>0.21</v>
      </c>
      <c r="U8">
        <v>2.1</v>
      </c>
    </row>
    <row r="9" spans="4:21" x14ac:dyDescent="0.2">
      <c r="D9">
        <v>5</v>
      </c>
      <c r="E9">
        <v>9.49</v>
      </c>
      <c r="F9">
        <v>2.6</v>
      </c>
      <c r="I9">
        <v>5</v>
      </c>
      <c r="J9">
        <v>1.53</v>
      </c>
      <c r="K9">
        <v>2.4</v>
      </c>
      <c r="N9">
        <v>5</v>
      </c>
      <c r="O9">
        <v>4.47</v>
      </c>
      <c r="P9">
        <v>2.5</v>
      </c>
      <c r="S9">
        <v>5</v>
      </c>
      <c r="T9">
        <v>0.25</v>
      </c>
      <c r="U9">
        <v>2.5</v>
      </c>
    </row>
    <row r="10" spans="4:21" x14ac:dyDescent="0.2">
      <c r="D10">
        <v>6</v>
      </c>
      <c r="E10">
        <v>11.02</v>
      </c>
      <c r="F10">
        <v>3</v>
      </c>
      <c r="I10">
        <v>6</v>
      </c>
      <c r="J10">
        <v>1.96</v>
      </c>
      <c r="K10">
        <v>3.1</v>
      </c>
      <c r="N10">
        <v>6</v>
      </c>
      <c r="O10">
        <v>5.29</v>
      </c>
      <c r="P10">
        <v>3</v>
      </c>
      <c r="S10">
        <v>6</v>
      </c>
      <c r="T10">
        <v>0.3</v>
      </c>
      <c r="U10">
        <v>3</v>
      </c>
    </row>
    <row r="11" spans="4:21" x14ac:dyDescent="0.2">
      <c r="D11">
        <v>7</v>
      </c>
      <c r="E11">
        <v>13.02</v>
      </c>
      <c r="F11">
        <v>3.6</v>
      </c>
      <c r="I11">
        <v>7</v>
      </c>
      <c r="J11">
        <v>2.2000000000000002</v>
      </c>
      <c r="K11">
        <v>3.5</v>
      </c>
      <c r="N11">
        <v>7</v>
      </c>
      <c r="O11">
        <v>6.23</v>
      </c>
      <c r="P11">
        <v>3.5</v>
      </c>
      <c r="S11">
        <v>7</v>
      </c>
      <c r="T11">
        <v>0.35</v>
      </c>
      <c r="U11">
        <v>3.5</v>
      </c>
    </row>
    <row r="12" spans="4:21" x14ac:dyDescent="0.2">
      <c r="D12">
        <v>8</v>
      </c>
      <c r="E12">
        <v>14.8</v>
      </c>
      <c r="F12">
        <v>4</v>
      </c>
      <c r="I12">
        <v>8</v>
      </c>
      <c r="J12">
        <v>2.5</v>
      </c>
      <c r="K12">
        <v>4</v>
      </c>
      <c r="N12">
        <v>8</v>
      </c>
      <c r="O12">
        <v>7.11</v>
      </c>
      <c r="P12">
        <v>4</v>
      </c>
      <c r="S12">
        <v>8</v>
      </c>
      <c r="T12">
        <v>0.41</v>
      </c>
      <c r="U12">
        <v>4.0999999999999996</v>
      </c>
    </row>
    <row r="13" spans="4:21" x14ac:dyDescent="0.2">
      <c r="D13">
        <v>9</v>
      </c>
      <c r="E13">
        <v>16.309999999999999</v>
      </c>
      <c r="F13">
        <v>4.5</v>
      </c>
      <c r="I13">
        <v>9</v>
      </c>
      <c r="J13">
        <v>2.89</v>
      </c>
      <c r="K13">
        <v>4.5999999999999996</v>
      </c>
      <c r="N13">
        <v>9</v>
      </c>
      <c r="O13">
        <v>8.01</v>
      </c>
      <c r="P13">
        <v>4.5</v>
      </c>
      <c r="S13">
        <v>9</v>
      </c>
      <c r="T13">
        <v>0.45</v>
      </c>
      <c r="U13">
        <v>4.5</v>
      </c>
    </row>
    <row r="14" spans="4:21" x14ac:dyDescent="0.2">
      <c r="D14">
        <v>10</v>
      </c>
      <c r="E14">
        <v>18.239999999999998</v>
      </c>
      <c r="F14">
        <v>5</v>
      </c>
      <c r="I14">
        <v>10</v>
      </c>
      <c r="J14">
        <v>3.2</v>
      </c>
      <c r="K14">
        <v>5.0999999999999996</v>
      </c>
      <c r="N14">
        <v>10</v>
      </c>
      <c r="O14">
        <v>9.1</v>
      </c>
      <c r="P14">
        <v>5.0999999999999996</v>
      </c>
      <c r="S14">
        <v>10</v>
      </c>
      <c r="T14">
        <v>0.51</v>
      </c>
      <c r="U14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6312-7554-054A-A9A0-928519F27B20}">
  <dimension ref="B5:F8"/>
  <sheetViews>
    <sheetView tabSelected="1" workbookViewId="0">
      <selection activeCell="E6" sqref="E6"/>
    </sheetView>
  </sheetViews>
  <sheetFormatPr baseColWidth="10" defaultRowHeight="16" x14ac:dyDescent="0.2"/>
  <sheetData>
    <row r="5" spans="2:6" x14ac:dyDescent="0.2">
      <c r="B5" t="s">
        <v>5</v>
      </c>
      <c r="E5" t="s">
        <v>9</v>
      </c>
      <c r="F5" t="s">
        <v>10</v>
      </c>
    </row>
    <row r="6" spans="2:6" x14ac:dyDescent="0.2">
      <c r="B6" t="s">
        <v>8</v>
      </c>
      <c r="E6">
        <v>0.80500000000000005</v>
      </c>
    </row>
    <row r="7" spans="2:6" x14ac:dyDescent="0.2">
      <c r="B7" t="s">
        <v>7</v>
      </c>
    </row>
    <row r="8" spans="2:6" x14ac:dyDescent="0.2">
      <c r="B8" t="s">
        <v>6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6961-69A3-EE40-BF42-0E2961E87A2F}">
  <dimension ref="C4:T21"/>
  <sheetViews>
    <sheetView workbookViewId="0">
      <selection activeCell="M22" sqref="M22"/>
    </sheetView>
  </sheetViews>
  <sheetFormatPr baseColWidth="10" defaultRowHeight="16" x14ac:dyDescent="0.2"/>
  <sheetData>
    <row r="4" spans="5:20" x14ac:dyDescent="0.2">
      <c r="E4" t="s">
        <v>11</v>
      </c>
      <c r="F4" t="s">
        <v>5</v>
      </c>
      <c r="J4" t="s">
        <v>13</v>
      </c>
      <c r="O4" t="s">
        <v>14</v>
      </c>
    </row>
    <row r="5" spans="5:20" x14ac:dyDescent="0.2">
      <c r="F5" t="s">
        <v>3</v>
      </c>
      <c r="G5" t="s">
        <v>12</v>
      </c>
      <c r="J5" t="s">
        <v>3</v>
      </c>
      <c r="K5" t="s">
        <v>12</v>
      </c>
      <c r="O5" t="s">
        <v>3</v>
      </c>
      <c r="P5" t="s">
        <v>12</v>
      </c>
    </row>
    <row r="6" spans="5:20" x14ac:dyDescent="0.2">
      <c r="F6">
        <v>5</v>
      </c>
      <c r="G6">
        <v>6.36</v>
      </c>
      <c r="J6">
        <v>5</v>
      </c>
      <c r="K6">
        <v>-6.04</v>
      </c>
      <c r="O6">
        <v>5</v>
      </c>
      <c r="P6">
        <v>-0.28999999999999998</v>
      </c>
      <c r="T6">
        <f>G6+K6+P6</f>
        <v>3.0000000000000304E-2</v>
      </c>
    </row>
    <row r="7" spans="5:20" x14ac:dyDescent="0.2">
      <c r="F7">
        <v>5.5</v>
      </c>
      <c r="G7">
        <v>6.93</v>
      </c>
      <c r="J7">
        <v>5.5</v>
      </c>
      <c r="K7">
        <v>-6.67</v>
      </c>
      <c r="O7">
        <v>5.5</v>
      </c>
      <c r="P7">
        <v>-0.31</v>
      </c>
      <c r="T7">
        <f>G7+K7+P7</f>
        <v>-5.0000000000000211E-2</v>
      </c>
    </row>
    <row r="8" spans="5:20" x14ac:dyDescent="0.2">
      <c r="F8">
        <v>6</v>
      </c>
      <c r="G8">
        <v>7.63</v>
      </c>
      <c r="J8">
        <v>6</v>
      </c>
      <c r="K8">
        <v>-7.31</v>
      </c>
      <c r="O8">
        <v>6</v>
      </c>
      <c r="P8">
        <v>-0.34</v>
      </c>
      <c r="T8">
        <f t="shared" ref="T8" si="0">G8+K8+P8</f>
        <v>-1.999999999999974E-2</v>
      </c>
    </row>
    <row r="9" spans="5:20" x14ac:dyDescent="0.2">
      <c r="F9">
        <v>6.5</v>
      </c>
      <c r="G9">
        <v>8.27</v>
      </c>
      <c r="J9">
        <v>6.5</v>
      </c>
      <c r="K9">
        <v>-7.95</v>
      </c>
      <c r="O9">
        <v>6.5</v>
      </c>
      <c r="P9">
        <v>-0.37</v>
      </c>
      <c r="T9">
        <f>G9+K9+P9</f>
        <v>-5.00000000000006E-2</v>
      </c>
    </row>
    <row r="10" spans="5:20" x14ac:dyDescent="0.2">
      <c r="F10">
        <v>7</v>
      </c>
      <c r="G10">
        <v>8.86</v>
      </c>
      <c r="J10">
        <v>7</v>
      </c>
      <c r="K10">
        <v>-8.42</v>
      </c>
      <c r="O10">
        <v>7</v>
      </c>
      <c r="P10">
        <v>-0.4</v>
      </c>
      <c r="T10">
        <f>G10+K10+P10</f>
        <v>3.999999999999948E-2</v>
      </c>
    </row>
    <row r="20" spans="3:13" x14ac:dyDescent="0.2">
      <c r="C20" t="s">
        <v>16</v>
      </c>
      <c r="E20" t="s">
        <v>15</v>
      </c>
      <c r="F20" t="s">
        <v>5</v>
      </c>
      <c r="G20" t="s">
        <v>8</v>
      </c>
      <c r="H20" t="s">
        <v>7</v>
      </c>
      <c r="I20" t="s">
        <v>6</v>
      </c>
      <c r="K20" t="s">
        <v>17</v>
      </c>
      <c r="L20" t="s">
        <v>18</v>
      </c>
      <c r="M20" t="s">
        <v>19</v>
      </c>
    </row>
    <row r="21" spans="3:13" x14ac:dyDescent="0.2">
      <c r="C21">
        <v>5</v>
      </c>
      <c r="F21">
        <v>1.6890000000000001</v>
      </c>
      <c r="G21">
        <v>3.06</v>
      </c>
      <c r="H21">
        <v>3.36</v>
      </c>
      <c r="I21">
        <v>2.82</v>
      </c>
      <c r="K21">
        <f>F21+H21</f>
        <v>5.0489999999999995</v>
      </c>
      <c r="L21">
        <f>G21+I21-H21</f>
        <v>2.52</v>
      </c>
      <c r="M21">
        <f>F21+G21+I21</f>
        <v>7.5690000000000008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B83B6-5E07-8B4C-93EE-DAB71AF24F8B}">
  <dimension ref="A1:G6"/>
  <sheetViews>
    <sheetView workbookViewId="0">
      <selection activeCell="G6" sqref="G6"/>
    </sheetView>
  </sheetViews>
  <sheetFormatPr baseColWidth="10" defaultRowHeight="16" x14ac:dyDescent="0.2"/>
  <sheetData>
    <row r="1" spans="1:7" x14ac:dyDescent="0.2">
      <c r="A1" t="s">
        <v>20</v>
      </c>
    </row>
    <row r="5" spans="1:7" x14ac:dyDescent="0.2">
      <c r="D5" t="s">
        <v>21</v>
      </c>
      <c r="E5" t="s">
        <v>22</v>
      </c>
      <c r="F5" t="s">
        <v>23</v>
      </c>
      <c r="G5" t="s">
        <v>24</v>
      </c>
    </row>
    <row r="6" spans="1:7" x14ac:dyDescent="0.2">
      <c r="D6">
        <v>5</v>
      </c>
      <c r="E6">
        <v>4.3499999999999996</v>
      </c>
      <c r="F6">
        <v>0.4</v>
      </c>
      <c r="G6">
        <v>10.82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5979B-4F14-894E-973E-541798384471}">
  <dimension ref="E6:M16"/>
  <sheetViews>
    <sheetView topLeftCell="B1" workbookViewId="0">
      <selection activeCell="G11" sqref="G11"/>
    </sheetView>
  </sheetViews>
  <sheetFormatPr baseColWidth="10" defaultRowHeight="16" x14ac:dyDescent="0.2"/>
  <cols>
    <col min="12" max="12" width="12.1640625" bestFit="1" customWidth="1"/>
  </cols>
  <sheetData>
    <row r="6" spans="5:13" x14ac:dyDescent="0.2">
      <c r="E6" t="s">
        <v>25</v>
      </c>
      <c r="G6" t="s">
        <v>27</v>
      </c>
      <c r="H6" t="s">
        <v>26</v>
      </c>
      <c r="L6" t="s">
        <v>29</v>
      </c>
      <c r="M6" t="s">
        <v>28</v>
      </c>
    </row>
    <row r="7" spans="5:13" x14ac:dyDescent="0.2">
      <c r="E7">
        <v>5</v>
      </c>
      <c r="F7">
        <v>1</v>
      </c>
      <c r="G7">
        <f>2.5/1000</f>
        <v>2.5000000000000001E-3</v>
      </c>
      <c r="H7">
        <f>3.22</f>
        <v>3.22</v>
      </c>
      <c r="K7">
        <f>H7</f>
        <v>3.22</v>
      </c>
      <c r="L7">
        <f>G7*G7/H7</f>
        <v>1.9409937888198758E-6</v>
      </c>
      <c r="M7">
        <f>H7</f>
        <v>3.22</v>
      </c>
    </row>
    <row r="8" spans="5:13" x14ac:dyDescent="0.2">
      <c r="F8">
        <v>2</v>
      </c>
      <c r="G8">
        <v>1.9850000000000001</v>
      </c>
      <c r="H8">
        <f>8.86*1000</f>
        <v>8860</v>
      </c>
      <c r="K8">
        <f t="shared" ref="K8:K16" si="0">H8</f>
        <v>8860</v>
      </c>
      <c r="L8">
        <f t="shared" ref="L8:L16" si="1">G8*G8/H8</f>
        <v>4.4472065462753952E-4</v>
      </c>
      <c r="M8">
        <f t="shared" ref="M8:M16" si="2">H8</f>
        <v>8860</v>
      </c>
    </row>
    <row r="9" spans="5:13" x14ac:dyDescent="0.2">
      <c r="F9">
        <v>3</v>
      </c>
      <c r="G9">
        <v>0.46800000000000003</v>
      </c>
      <c r="H9">
        <v>1273</v>
      </c>
      <c r="K9">
        <f t="shared" si="0"/>
        <v>1273</v>
      </c>
      <c r="L9">
        <f t="shared" si="1"/>
        <v>1.7205341712490181E-4</v>
      </c>
      <c r="M9">
        <f t="shared" si="2"/>
        <v>1273</v>
      </c>
    </row>
    <row r="10" spans="5:13" x14ac:dyDescent="0.2">
      <c r="F10">
        <v>4</v>
      </c>
      <c r="G10">
        <v>1.59</v>
      </c>
      <c r="H10">
        <v>6350</v>
      </c>
      <c r="K10">
        <f t="shared" si="0"/>
        <v>6350</v>
      </c>
      <c r="L10">
        <f t="shared" si="1"/>
        <v>3.9812598425196854E-4</v>
      </c>
      <c r="M10">
        <f t="shared" si="2"/>
        <v>6350</v>
      </c>
    </row>
    <row r="11" spans="5:13" x14ac:dyDescent="0.2">
      <c r="F11">
        <v>5</v>
      </c>
      <c r="G11">
        <v>2.11</v>
      </c>
      <c r="H11">
        <f>1000*10.04</f>
        <v>10040</v>
      </c>
      <c r="K11">
        <f t="shared" si="0"/>
        <v>10040</v>
      </c>
      <c r="L11">
        <f t="shared" si="1"/>
        <v>4.4343625498007965E-4</v>
      </c>
      <c r="M11">
        <f t="shared" si="2"/>
        <v>10040</v>
      </c>
    </row>
    <row r="12" spans="5:13" x14ac:dyDescent="0.2">
      <c r="F12">
        <v>6</v>
      </c>
      <c r="G12">
        <v>2.41</v>
      </c>
      <c r="H12">
        <f>12.94*1000</f>
        <v>12940</v>
      </c>
      <c r="K12">
        <f t="shared" si="0"/>
        <v>12940</v>
      </c>
      <c r="L12">
        <f t="shared" si="1"/>
        <v>4.4884853168469866E-4</v>
      </c>
      <c r="M12">
        <f t="shared" si="2"/>
        <v>12940</v>
      </c>
    </row>
    <row r="13" spans="5:13" x14ac:dyDescent="0.2">
      <c r="F13">
        <v>7</v>
      </c>
      <c r="G13">
        <v>2.63</v>
      </c>
      <c r="H13">
        <v>16440</v>
      </c>
      <c r="K13">
        <f t="shared" si="0"/>
        <v>16440</v>
      </c>
      <c r="L13">
        <f t="shared" si="1"/>
        <v>4.2073600973236005E-4</v>
      </c>
      <c r="M13">
        <f t="shared" si="2"/>
        <v>16440</v>
      </c>
    </row>
    <row r="14" spans="5:13" x14ac:dyDescent="0.2">
      <c r="F14">
        <v>8</v>
      </c>
      <c r="G14">
        <v>2.87</v>
      </c>
      <c r="H14">
        <v>20900</v>
      </c>
      <c r="K14">
        <f t="shared" si="0"/>
        <v>20900</v>
      </c>
      <c r="L14">
        <f t="shared" si="1"/>
        <v>3.9411004784688995E-4</v>
      </c>
      <c r="M14">
        <f t="shared" si="2"/>
        <v>20900</v>
      </c>
    </row>
    <row r="15" spans="5:13" x14ac:dyDescent="0.2">
      <c r="F15">
        <v>9</v>
      </c>
      <c r="G15">
        <v>3.27</v>
      </c>
      <c r="H15">
        <v>29700</v>
      </c>
      <c r="K15">
        <f t="shared" si="0"/>
        <v>29700</v>
      </c>
      <c r="L15">
        <f t="shared" si="1"/>
        <v>3.6003030303030301E-4</v>
      </c>
      <c r="M15">
        <f t="shared" si="2"/>
        <v>29700</v>
      </c>
    </row>
    <row r="16" spans="5:13" x14ac:dyDescent="0.2">
      <c r="F16">
        <v>10</v>
      </c>
      <c r="G16">
        <v>1.7969999999999999</v>
      </c>
      <c r="H16">
        <v>7550</v>
      </c>
      <c r="K16">
        <f t="shared" si="0"/>
        <v>7550</v>
      </c>
      <c r="L16">
        <f t="shared" si="1"/>
        <v>4.2770980132450325E-4</v>
      </c>
      <c r="M16">
        <f t="shared" si="2"/>
        <v>7550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Ley de Ohm</vt:lpstr>
      <vt:lpstr>Circuito</vt:lpstr>
      <vt:lpstr>Kirchoff</vt:lpstr>
      <vt:lpstr>Norton-Thevenin</vt:lpstr>
      <vt:lpstr>Potenciometro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Ávila Gómez Xaime Daniel</dc:creator>
  <cp:lastModifiedBy>Ávila Gómez Xaime Daniel</cp:lastModifiedBy>
  <dcterms:created xsi:type="dcterms:W3CDTF">2026-04-06T06:35:23Z</dcterms:created>
  <dcterms:modified xsi:type="dcterms:W3CDTF">2026-04-09T09:31:14Z</dcterms:modified>
</cp:coreProperties>
</file>